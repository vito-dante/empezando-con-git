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to-dante\Documents\GitHub\empezando-con-git\MonteCarlo\"/>
    </mc:Choice>
  </mc:AlternateContent>
  <bookViews>
    <workbookView xWindow="8052" yWindow="96" windowWidth="20112" windowHeight="8520"/>
  </bookViews>
  <sheets>
    <sheet name="Hoja1" sheetId="1" r:id="rId1"/>
    <sheet name="Hoja2" sheetId="2" r:id="rId2"/>
    <sheet name="Hoja3" sheetId="3" r:id="rId3"/>
  </sheets>
  <calcPr calcId="152511"/>
</workbook>
</file>

<file path=xl/calcChain.xml><?xml version="1.0" encoding="utf-8"?>
<calcChain xmlns="http://schemas.openxmlformats.org/spreadsheetml/2006/main">
  <c r="J50" i="1" l="1"/>
  <c r="E43" i="1" l="1"/>
  <c r="G39" i="1"/>
  <c r="H39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83" i="1"/>
  <c r="G83" i="1" s="1"/>
  <c r="E82" i="1"/>
  <c r="F82" i="1" s="1"/>
  <c r="E81" i="1"/>
  <c r="G81" i="1" s="1"/>
  <c r="E80" i="1"/>
  <c r="F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F77" i="1" l="1"/>
  <c r="F78" i="1"/>
  <c r="G80" i="1"/>
  <c r="F79" i="1"/>
  <c r="G82" i="1"/>
  <c r="F76" i="1"/>
  <c r="F81" i="1"/>
  <c r="F83" i="1"/>
  <c r="F74" i="1"/>
  <c r="F75" i="1"/>
  <c r="E39" i="1" l="1"/>
  <c r="D39" i="1"/>
  <c r="E48" i="1" l="1"/>
  <c r="E47" i="1"/>
  <c r="E46" i="1"/>
  <c r="E45" i="1"/>
  <c r="E44" i="1"/>
  <c r="E42" i="1"/>
  <c r="E41" i="1"/>
  <c r="E40" i="1"/>
  <c r="F43" i="1" l="1"/>
  <c r="F45" i="1"/>
  <c r="F40" i="1"/>
  <c r="G9" i="1"/>
  <c r="F8" i="1"/>
  <c r="F39" i="1" s="1"/>
  <c r="D40" i="1" s="1"/>
  <c r="F9" i="1"/>
  <c r="F10" i="1"/>
  <c r="F7" i="1"/>
  <c r="E15" i="1"/>
  <c r="E16" i="1" s="1"/>
  <c r="G40" i="1" l="1"/>
  <c r="H40" i="1" s="1"/>
  <c r="D41" i="1" s="1"/>
  <c r="F42" i="1"/>
  <c r="F41" i="1"/>
  <c r="F48" i="1"/>
  <c r="F47" i="1"/>
  <c r="F44" i="1"/>
  <c r="F46" i="1"/>
  <c r="F16" i="1"/>
  <c r="G7" i="1"/>
  <c r="G6" i="1"/>
  <c r="F17" i="1"/>
  <c r="E17" i="1"/>
  <c r="G16" i="1"/>
  <c r="G15" i="1"/>
  <c r="G41" i="1" l="1"/>
  <c r="H41" i="1" s="1"/>
  <c r="D42" i="1" s="1"/>
  <c r="G10" i="1"/>
  <c r="G8" i="1"/>
  <c r="F18" i="1"/>
  <c r="E18" i="1"/>
  <c r="G18" i="1" s="1"/>
  <c r="G17" i="1"/>
  <c r="G42" i="1" l="1"/>
  <c r="H42" i="1" s="1"/>
  <c r="D43" i="1" s="1"/>
  <c r="G43" i="1" l="1"/>
  <c r="H43" i="1" s="1"/>
  <c r="D74" i="1"/>
  <c r="D44" i="1" l="1"/>
  <c r="G44" i="1" s="1"/>
  <c r="H44" i="1" s="1"/>
  <c r="D75" i="1"/>
  <c r="H74" i="1"/>
  <c r="D45" i="1" l="1"/>
  <c r="G45" i="1" s="1"/>
  <c r="H45" i="1" s="1"/>
  <c r="D46" i="1" s="1"/>
  <c r="D76" i="1"/>
  <c r="H75" i="1"/>
  <c r="G46" i="1" l="1"/>
  <c r="H46" i="1" s="1"/>
  <c r="D47" i="1" s="1"/>
  <c r="D77" i="1"/>
  <c r="H76" i="1"/>
  <c r="G47" i="1" l="1"/>
  <c r="H47" i="1" s="1"/>
  <c r="D78" i="1"/>
  <c r="H77" i="1"/>
  <c r="D48" i="1" l="1"/>
  <c r="G48" i="1" s="1"/>
  <c r="H48" i="1" s="1"/>
  <c r="D49" i="1" s="1"/>
  <c r="G49" i="1" s="1"/>
  <c r="H49" i="1" s="1"/>
  <c r="D50" i="1" s="1"/>
  <c r="H78" i="1"/>
  <c r="D79" i="1"/>
  <c r="G50" i="1" l="1"/>
  <c r="H50" i="1" s="1"/>
  <c r="D51" i="1" s="1"/>
  <c r="D80" i="1"/>
  <c r="H79" i="1"/>
  <c r="G51" i="1" l="1"/>
  <c r="H51" i="1" s="1"/>
  <c r="D52" i="1" s="1"/>
  <c r="D81" i="1"/>
  <c r="H80" i="1"/>
  <c r="G52" i="1" l="1"/>
  <c r="H52" i="1" s="1"/>
  <c r="D53" i="1" s="1"/>
  <c r="D82" i="1"/>
  <c r="H81" i="1"/>
  <c r="G53" i="1" l="1"/>
  <c r="H53" i="1" s="1"/>
  <c r="D54" i="1" s="1"/>
  <c r="D83" i="1"/>
  <c r="H83" i="1" s="1"/>
  <c r="H82" i="1"/>
  <c r="G54" i="1" l="1"/>
  <c r="H54" i="1" s="1"/>
  <c r="D55" i="1" s="1"/>
  <c r="G55" i="1" l="1"/>
  <c r="H55" i="1" s="1"/>
  <c r="D56" i="1" s="1"/>
  <c r="G56" i="1" l="1"/>
  <c r="H56" i="1" s="1"/>
  <c r="D57" i="1" s="1"/>
  <c r="G57" i="1" l="1"/>
  <c r="H57" i="1" s="1"/>
  <c r="D58" i="1" s="1"/>
  <c r="G58" i="1" l="1"/>
  <c r="H58" i="1" s="1"/>
  <c r="D59" i="1" l="1"/>
  <c r="G59" i="1" s="1"/>
  <c r="H59" i="1" s="1"/>
  <c r="D60" i="1" l="1"/>
  <c r="G60" i="1" s="1"/>
  <c r="H60" i="1" s="1"/>
  <c r="D61" i="1" s="1"/>
  <c r="G61" i="1" s="1"/>
  <c r="H61" i="1" s="1"/>
  <c r="D62" i="1" s="1"/>
  <c r="G62" i="1" s="1"/>
  <c r="H62" i="1" s="1"/>
  <c r="D63" i="1" s="1"/>
  <c r="G63" i="1" l="1"/>
  <c r="H63" i="1" s="1"/>
  <c r="D64" i="1" s="1"/>
  <c r="G64" i="1" l="1"/>
  <c r="H64" i="1" s="1"/>
  <c r="D65" i="1" s="1"/>
  <c r="G65" i="1" l="1"/>
  <c r="H65" i="1" s="1"/>
  <c r="D66" i="1" s="1"/>
  <c r="G66" i="1" l="1"/>
  <c r="H66" i="1" s="1"/>
  <c r="D67" i="1" s="1"/>
  <c r="G67" i="1" l="1"/>
  <c r="H67" i="1" s="1"/>
  <c r="D68" i="1" s="1"/>
  <c r="G68" i="1" l="1"/>
  <c r="H68" i="1" s="1"/>
</calcChain>
</file>

<file path=xl/sharedStrings.xml><?xml version="1.0" encoding="utf-8"?>
<sst xmlns="http://schemas.openxmlformats.org/spreadsheetml/2006/main" count="34" uniqueCount="23">
  <si>
    <t>Nro</t>
  </si>
  <si>
    <t>Perdida</t>
  </si>
  <si>
    <t>Prob.</t>
  </si>
  <si>
    <t>Prob. Acum.</t>
  </si>
  <si>
    <t>Ext.Inf.Interv.</t>
  </si>
  <si>
    <t>Ext.Sup.Interv.</t>
  </si>
  <si>
    <t>Nº Semanas</t>
  </si>
  <si>
    <t>Punto de pedido</t>
  </si>
  <si>
    <t>Inventario inicial</t>
  </si>
  <si>
    <t>Inventario</t>
  </si>
  <si>
    <t>Dem. Semanal (Motos)</t>
  </si>
  <si>
    <t>Cantidad de motos que se vende por semana</t>
  </si>
  <si>
    <t>Tiempo que transcurre entre el pedido y la entrega de la mercadería</t>
  </si>
  <si>
    <t>Demanda</t>
  </si>
  <si>
    <t>Nro AT</t>
  </si>
  <si>
    <t xml:space="preserve">Tiempo </t>
  </si>
  <si>
    <t>Otros Datos</t>
  </si>
  <si>
    <t>Cantidad por pedido</t>
  </si>
  <si>
    <t>Nro.Deman</t>
  </si>
  <si>
    <t>Nro.Tiem</t>
  </si>
  <si>
    <t>sumar el indice</t>
  </si>
  <si>
    <t>por ej:</t>
  </si>
  <si>
    <t>An,n=32+g, g=9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</si>
</sst>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&quot;€&quot;_-;\-* #,##0.00\ &quot;€&quot;_-;_-* &quot;-&quot;??\ &quot;€&quot;_-;_-@_-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mbria"/>
      <family val="1"/>
      <scheme val="major"/>
    </font>
    <font>
      <b/>
      <sz val="12"/>
      <color theme="1"/>
      <name val="Courier New"/>
      <family val="3"/>
    </font>
    <font>
      <sz val="11"/>
      <color theme="1"/>
      <name val="C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4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2" fontId="0" fillId="7" borderId="1" xfId="0" applyNumberFormat="1" applyFill="1" applyBorder="1"/>
    <xf numFmtId="0" fontId="2" fillId="4" borderId="1" xfId="0" applyFont="1" applyFill="1" applyBorder="1" applyAlignment="1">
      <alignment horizontal="center" vertical="center" wrapText="1"/>
    </xf>
    <xf numFmtId="0" fontId="0" fillId="3" borderId="1" xfId="1" applyNumberFormat="1" applyFont="1" applyFill="1" applyBorder="1"/>
    <xf numFmtId="0" fontId="0" fillId="8" borderId="0" xfId="1" applyNumberFormat="1" applyFont="1" applyFill="1" applyBorder="1"/>
    <xf numFmtId="0" fontId="0" fillId="0" borderId="0" xfId="0" applyBorder="1"/>
    <xf numFmtId="4" fontId="0" fillId="0" borderId="0" xfId="0" applyNumberFormat="1" applyBorder="1"/>
    <xf numFmtId="0" fontId="2" fillId="4" borderId="1" xfId="0" applyFont="1" applyFill="1" applyBorder="1" applyAlignment="1">
      <alignment horizontal="center" wrapText="1"/>
    </xf>
    <xf numFmtId="2" fontId="0" fillId="5" borderId="1" xfId="0" applyNumberFormat="1" applyFill="1" applyBorder="1" applyAlignment="1">
      <alignment wrapText="1"/>
    </xf>
    <xf numFmtId="2" fontId="0" fillId="6" borderId="1" xfId="0" applyNumberFormat="1" applyFill="1" applyBorder="1" applyAlignment="1">
      <alignment wrapText="1"/>
    </xf>
    <xf numFmtId="2" fontId="0" fillId="7" borderId="1" xfId="0" applyNumberFormat="1" applyFill="1" applyBorder="1" applyAlignment="1">
      <alignment wrapText="1"/>
    </xf>
    <xf numFmtId="0" fontId="4" fillId="0" borderId="0" xfId="0" applyFont="1"/>
    <xf numFmtId="0" fontId="4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0" xfId="0" applyFont="1"/>
    <xf numFmtId="0" fontId="0" fillId="9" borderId="1" xfId="0" applyFill="1" applyBorder="1"/>
    <xf numFmtId="0" fontId="0" fillId="10" borderId="1" xfId="0" applyFill="1" applyBorder="1"/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8" borderId="0" xfId="0" applyFill="1" applyBorder="1" applyAlignment="1">
      <alignment wrapText="1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Monitoreo Inventario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yVal>
            <c:numRef>
              <c:f>Hoja1!$D$39:$D$68</c:f>
              <c:numCache>
                <c:formatCode>General</c:formatCode>
                <c:ptCount val="30"/>
                <c:pt idx="0">
                  <c:v>15</c:v>
                </c:pt>
                <c:pt idx="1">
                  <c:v>11</c:v>
                </c:pt>
                <c:pt idx="2">
                  <c:v>9</c:v>
                </c:pt>
                <c:pt idx="3">
                  <c:v>5</c:v>
                </c:pt>
                <c:pt idx="4">
                  <c:v>2</c:v>
                </c:pt>
                <c:pt idx="5">
                  <c:v>12</c:v>
                </c:pt>
                <c:pt idx="6">
                  <c:v>8</c:v>
                </c:pt>
                <c:pt idx="7">
                  <c:v>6</c:v>
                </c:pt>
                <c:pt idx="8">
                  <c:v>3</c:v>
                </c:pt>
                <c:pt idx="9">
                  <c:v>13</c:v>
                </c:pt>
                <c:pt idx="10">
                  <c:v>10</c:v>
                </c:pt>
                <c:pt idx="11">
                  <c:v>7</c:v>
                </c:pt>
                <c:pt idx="12">
                  <c:v>2</c:v>
                </c:pt>
                <c:pt idx="13">
                  <c:v>12</c:v>
                </c:pt>
                <c:pt idx="14">
                  <c:v>10</c:v>
                </c:pt>
                <c:pt idx="15">
                  <c:v>6</c:v>
                </c:pt>
                <c:pt idx="16">
                  <c:v>1</c:v>
                </c:pt>
                <c:pt idx="17">
                  <c:v>11</c:v>
                </c:pt>
                <c:pt idx="18">
                  <c:v>8</c:v>
                </c:pt>
                <c:pt idx="19">
                  <c:v>5</c:v>
                </c:pt>
                <c:pt idx="20">
                  <c:v>2</c:v>
                </c:pt>
                <c:pt idx="21">
                  <c:v>12</c:v>
                </c:pt>
                <c:pt idx="22">
                  <c:v>9</c:v>
                </c:pt>
                <c:pt idx="23">
                  <c:v>7</c:v>
                </c:pt>
                <c:pt idx="24">
                  <c:v>3</c:v>
                </c:pt>
                <c:pt idx="25">
                  <c:v>13</c:v>
                </c:pt>
                <c:pt idx="26">
                  <c:v>11</c:v>
                </c:pt>
                <c:pt idx="27">
                  <c:v>9</c:v>
                </c:pt>
                <c:pt idx="28">
                  <c:v>7</c:v>
                </c:pt>
                <c:pt idx="29">
                  <c:v>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1088448"/>
        <c:axId val="-51087904"/>
      </c:scatterChart>
      <c:valAx>
        <c:axId val="-5108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-51087904"/>
        <c:crosses val="autoZero"/>
        <c:crossBetween val="midCat"/>
      </c:valAx>
      <c:valAx>
        <c:axId val="-5108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-5108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s-BO"/>
              <a:t>inventario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Hoja1!$D$39:$D$68</c:f>
              <c:numCache>
                <c:formatCode>General</c:formatCode>
                <c:ptCount val="30"/>
                <c:pt idx="0">
                  <c:v>15</c:v>
                </c:pt>
                <c:pt idx="1">
                  <c:v>11</c:v>
                </c:pt>
                <c:pt idx="2">
                  <c:v>9</c:v>
                </c:pt>
                <c:pt idx="3">
                  <c:v>5</c:v>
                </c:pt>
                <c:pt idx="4">
                  <c:v>2</c:v>
                </c:pt>
                <c:pt idx="5">
                  <c:v>12</c:v>
                </c:pt>
                <c:pt idx="6">
                  <c:v>8</c:v>
                </c:pt>
                <c:pt idx="7">
                  <c:v>6</c:v>
                </c:pt>
                <c:pt idx="8">
                  <c:v>3</c:v>
                </c:pt>
                <c:pt idx="9">
                  <c:v>13</c:v>
                </c:pt>
                <c:pt idx="10">
                  <c:v>10</c:v>
                </c:pt>
                <c:pt idx="11">
                  <c:v>7</c:v>
                </c:pt>
                <c:pt idx="12">
                  <c:v>2</c:v>
                </c:pt>
                <c:pt idx="13">
                  <c:v>12</c:v>
                </c:pt>
                <c:pt idx="14">
                  <c:v>10</c:v>
                </c:pt>
                <c:pt idx="15">
                  <c:v>6</c:v>
                </c:pt>
                <c:pt idx="16">
                  <c:v>1</c:v>
                </c:pt>
                <c:pt idx="17">
                  <c:v>11</c:v>
                </c:pt>
                <c:pt idx="18">
                  <c:v>8</c:v>
                </c:pt>
                <c:pt idx="19">
                  <c:v>5</c:v>
                </c:pt>
                <c:pt idx="20">
                  <c:v>2</c:v>
                </c:pt>
                <c:pt idx="21">
                  <c:v>12</c:v>
                </c:pt>
                <c:pt idx="22">
                  <c:v>9</c:v>
                </c:pt>
                <c:pt idx="23">
                  <c:v>7</c:v>
                </c:pt>
                <c:pt idx="24">
                  <c:v>3</c:v>
                </c:pt>
                <c:pt idx="25">
                  <c:v>13</c:v>
                </c:pt>
                <c:pt idx="26">
                  <c:v>11</c:v>
                </c:pt>
                <c:pt idx="27">
                  <c:v>9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2065529984"/>
        <c:axId val="-2065532704"/>
      </c:lineChart>
      <c:catAx>
        <c:axId val="-206552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-2065532704"/>
        <c:crosses val="autoZero"/>
        <c:auto val="1"/>
        <c:lblAlgn val="ctr"/>
        <c:lblOffset val="100"/>
        <c:noMultiLvlLbl val="0"/>
      </c:catAx>
      <c:valAx>
        <c:axId val="-2065532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206552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236220</xdr:colOff>
      <xdr:row>39</xdr:row>
      <xdr:rowOff>0</xdr:rowOff>
    </xdr:from>
    <xdr:to>
      <xdr:col>16</xdr:col>
      <xdr:colOff>274320</xdr:colOff>
      <xdr:row>59</xdr:row>
      <xdr:rowOff>114300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129540</xdr:colOff>
      <xdr:row>0</xdr:row>
      <xdr:rowOff>129540</xdr:rowOff>
    </xdr:from>
    <xdr:to>
      <xdr:col>19</xdr:col>
      <xdr:colOff>167640</xdr:colOff>
      <xdr:row>25</xdr:row>
      <xdr:rowOff>76200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3:S83"/>
  <sheetViews>
    <sheetView tabSelected="1" view="pageLayout" topLeftCell="A36" zoomScaleNormal="100" workbookViewId="0">
      <selection activeCell="D40" sqref="D40"/>
    </sheetView>
  </sheetViews>
  <sheetFormatPr baseColWidth="10" defaultRowHeight="14.4"/>
  <cols>
    <col min="1" max="1" width="4.33203125" bestFit="1" customWidth="1"/>
    <col min="2" max="2" width="7.77734375" customWidth="1"/>
    <col min="3" max="3" width="16.33203125" customWidth="1"/>
    <col min="4" max="4" width="13" bestFit="1" customWidth="1"/>
    <col min="5" max="5" width="12.109375" bestFit="1" customWidth="1"/>
    <col min="6" max="6" width="13" bestFit="1" customWidth="1"/>
    <col min="7" max="7" width="14.33203125" bestFit="1" customWidth="1"/>
    <col min="8" max="8" width="16" customWidth="1"/>
  </cols>
  <sheetData>
    <row r="3" spans="3:19" ht="6.75" customHeight="1"/>
    <row r="4" spans="3:19" ht="26.25" customHeight="1">
      <c r="C4" s="27" t="s">
        <v>11</v>
      </c>
      <c r="D4" s="27"/>
      <c r="E4" s="27"/>
      <c r="F4" s="27"/>
      <c r="G4" s="27"/>
      <c r="H4" s="27"/>
    </row>
    <row r="5" spans="3:19" ht="14.25" customHeight="1">
      <c r="C5" s="14" t="s">
        <v>10</v>
      </c>
      <c r="D5" s="14" t="s">
        <v>2</v>
      </c>
      <c r="E5" s="14" t="s">
        <v>3</v>
      </c>
      <c r="F5" s="14" t="s">
        <v>4</v>
      </c>
      <c r="G5" s="14" t="s">
        <v>5</v>
      </c>
      <c r="H5" s="14" t="s">
        <v>10</v>
      </c>
      <c r="K5" s="26"/>
      <c r="L5" s="26"/>
      <c r="M5" s="26"/>
      <c r="N5" s="26"/>
      <c r="O5" s="26"/>
      <c r="P5" s="26"/>
      <c r="Q5" s="26"/>
      <c r="R5" s="26"/>
      <c r="S5" s="26"/>
    </row>
    <row r="6" spans="3:19" ht="14.25" customHeight="1">
      <c r="C6" s="5">
        <v>1</v>
      </c>
      <c r="D6" s="15">
        <v>0.05</v>
      </c>
      <c r="E6" s="16">
        <v>0.05</v>
      </c>
      <c r="F6" s="17">
        <v>0</v>
      </c>
      <c r="G6" s="17">
        <f>+E6</f>
        <v>0.05</v>
      </c>
      <c r="H6" s="5">
        <v>1</v>
      </c>
    </row>
    <row r="7" spans="3:19" ht="14.25" customHeight="1">
      <c r="C7" s="5">
        <v>2</v>
      </c>
      <c r="D7" s="6">
        <v>0.25</v>
      </c>
      <c r="E7" s="7">
        <v>0.3</v>
      </c>
      <c r="F7" s="8">
        <f>+E6</f>
        <v>0.05</v>
      </c>
      <c r="G7" s="8">
        <f>+E7</f>
        <v>0.3</v>
      </c>
      <c r="H7" s="5">
        <v>2</v>
      </c>
      <c r="K7" s="12"/>
      <c r="O7" s="12"/>
      <c r="P7" s="12"/>
      <c r="Q7" s="12"/>
    </row>
    <row r="8" spans="3:19" ht="14.25" customHeight="1">
      <c r="C8" s="5">
        <v>3</v>
      </c>
      <c r="D8" s="6">
        <v>0.35</v>
      </c>
      <c r="E8" s="7">
        <v>0.65</v>
      </c>
      <c r="F8" s="8">
        <f t="shared" ref="F8:F10" si="0">+E7</f>
        <v>0.3</v>
      </c>
      <c r="G8" s="8">
        <f>+E8</f>
        <v>0.65</v>
      </c>
      <c r="H8" s="5">
        <v>3</v>
      </c>
      <c r="K8" s="12"/>
      <c r="O8" s="12"/>
      <c r="P8" s="12"/>
      <c r="Q8" s="12"/>
    </row>
    <row r="9" spans="3:19" ht="14.25" customHeight="1">
      <c r="C9" s="5">
        <v>4</v>
      </c>
      <c r="D9" s="6">
        <v>0.2</v>
      </c>
      <c r="E9" s="7">
        <v>0.85</v>
      </c>
      <c r="F9" s="8">
        <f t="shared" si="0"/>
        <v>0.65</v>
      </c>
      <c r="G9" s="8">
        <f>+E9</f>
        <v>0.85</v>
      </c>
      <c r="H9" s="5">
        <v>4</v>
      </c>
      <c r="K9" s="12"/>
      <c r="O9" s="12"/>
      <c r="P9" s="12"/>
      <c r="Q9" s="12"/>
    </row>
    <row r="10" spans="3:19" ht="14.25" customHeight="1">
      <c r="C10" s="5">
        <v>5</v>
      </c>
      <c r="D10" s="6">
        <v>0.15</v>
      </c>
      <c r="E10" s="7">
        <v>1</v>
      </c>
      <c r="F10" s="8">
        <f t="shared" si="0"/>
        <v>0.85</v>
      </c>
      <c r="G10" s="8">
        <f>+E10</f>
        <v>1</v>
      </c>
      <c r="H10" s="5">
        <v>5</v>
      </c>
      <c r="K10" s="12"/>
      <c r="L10" s="28"/>
      <c r="M10" s="28"/>
      <c r="N10" s="11"/>
      <c r="O10" s="12"/>
      <c r="P10" s="12"/>
      <c r="Q10" s="12"/>
    </row>
    <row r="11" spans="3:19" ht="14.25" customHeight="1"/>
    <row r="12" spans="3:19" ht="14.25" customHeight="1"/>
    <row r="13" spans="3:19" ht="14.25" customHeight="1">
      <c r="C13" s="19" t="s">
        <v>12</v>
      </c>
      <c r="D13" s="20"/>
      <c r="E13" s="20"/>
      <c r="F13" s="20"/>
      <c r="G13" s="20"/>
      <c r="H13" s="20"/>
    </row>
    <row r="14" spans="3:19" ht="14.25" customHeight="1">
      <c r="C14" s="4" t="s">
        <v>6</v>
      </c>
      <c r="D14" s="4" t="s">
        <v>2</v>
      </c>
      <c r="E14" s="4" t="s">
        <v>3</v>
      </c>
      <c r="F14" s="4" t="s">
        <v>4</v>
      </c>
      <c r="G14" s="4" t="s">
        <v>5</v>
      </c>
      <c r="H14" s="4" t="s">
        <v>6</v>
      </c>
    </row>
    <row r="15" spans="3:19">
      <c r="C15" s="5">
        <v>2</v>
      </c>
      <c r="D15" s="6">
        <v>0.2</v>
      </c>
      <c r="E15" s="7">
        <f>+D15</f>
        <v>0.2</v>
      </c>
      <c r="F15" s="8">
        <v>0</v>
      </c>
      <c r="G15" s="8">
        <f>+E15</f>
        <v>0.2</v>
      </c>
      <c r="H15" s="5">
        <v>2</v>
      </c>
    </row>
    <row r="16" spans="3:19">
      <c r="C16" s="5">
        <v>3</v>
      </c>
      <c r="D16" s="6">
        <v>0.5</v>
      </c>
      <c r="E16" s="7">
        <f>+E15+D16</f>
        <v>0.7</v>
      </c>
      <c r="F16" s="8">
        <f>+E15</f>
        <v>0.2</v>
      </c>
      <c r="G16" s="8">
        <f>+E16</f>
        <v>0.7</v>
      </c>
      <c r="H16" s="5">
        <v>3</v>
      </c>
    </row>
    <row r="17" spans="1:8">
      <c r="C17" s="5">
        <v>4</v>
      </c>
      <c r="D17" s="6">
        <v>0.2</v>
      </c>
      <c r="E17" s="7">
        <f>+E16+D17</f>
        <v>0.89999999999999991</v>
      </c>
      <c r="F17" s="8">
        <f>+E16</f>
        <v>0.7</v>
      </c>
      <c r="G17" s="8">
        <f>+E17</f>
        <v>0.89999999999999991</v>
      </c>
      <c r="H17" s="5">
        <v>4</v>
      </c>
    </row>
    <row r="18" spans="1:8">
      <c r="C18" s="5">
        <v>5</v>
      </c>
      <c r="D18" s="6">
        <v>0.1</v>
      </c>
      <c r="E18" s="7">
        <f>+E17+D18</f>
        <v>0.99999999999999989</v>
      </c>
      <c r="F18" s="8">
        <f>+E17</f>
        <v>0.89999999999999991</v>
      </c>
      <c r="G18" s="8">
        <f>+E18</f>
        <v>0.99999999999999989</v>
      </c>
      <c r="H18" s="5">
        <v>5</v>
      </c>
    </row>
    <row r="20" spans="1:8" ht="1.5" customHeight="1">
      <c r="A20" s="12"/>
      <c r="B20" s="12"/>
      <c r="C20" s="12"/>
      <c r="D20" s="13"/>
      <c r="E20" s="12"/>
      <c r="F20" s="12"/>
      <c r="G20" s="12"/>
    </row>
    <row r="21" spans="1:8" ht="21" customHeight="1">
      <c r="E21" s="18" t="s">
        <v>16</v>
      </c>
    </row>
    <row r="22" spans="1:8" ht="1.5" customHeight="1"/>
    <row r="23" spans="1:8" ht="16.8" customHeight="1">
      <c r="E23" s="24" t="s">
        <v>7</v>
      </c>
      <c r="F23" s="25"/>
      <c r="G23" s="10">
        <v>4</v>
      </c>
    </row>
    <row r="24" spans="1:8" ht="14.4" customHeight="1">
      <c r="E24" s="24" t="s">
        <v>17</v>
      </c>
      <c r="F24" s="25"/>
      <c r="G24" s="10">
        <v>10</v>
      </c>
    </row>
    <row r="25" spans="1:8" ht="14.4" customHeight="1">
      <c r="E25" s="24" t="s">
        <v>8</v>
      </c>
      <c r="F25" s="25"/>
      <c r="G25" s="10">
        <v>15</v>
      </c>
    </row>
    <row r="29" spans="1:8" ht="3.75" customHeight="1"/>
    <row r="30" spans="1:8" ht="15.75" customHeight="1"/>
    <row r="38" spans="3:10">
      <c r="C38" s="9" t="s">
        <v>0</v>
      </c>
      <c r="D38" s="9" t="s">
        <v>9</v>
      </c>
      <c r="E38" s="9" t="s">
        <v>18</v>
      </c>
      <c r="F38" s="9" t="s">
        <v>13</v>
      </c>
      <c r="G38" s="9" t="s">
        <v>19</v>
      </c>
      <c r="H38" s="9" t="s">
        <v>15</v>
      </c>
    </row>
    <row r="39" spans="3:10">
      <c r="C39" s="2">
        <v>1</v>
      </c>
      <c r="D39" s="23">
        <f>G25</f>
        <v>15</v>
      </c>
      <c r="E39" s="3">
        <f ca="1">RAND()</f>
        <v>0.8092773284191086</v>
      </c>
      <c r="F39" s="22">
        <f ca="1">VLOOKUP(E39,$F$6:$H$10,3)</f>
        <v>4</v>
      </c>
      <c r="G39" s="1">
        <f ca="1">IF(D39&lt;=4,RAND(),0)</f>
        <v>0</v>
      </c>
      <c r="H39" s="22">
        <f ca="1">IF(G39&gt;0,VLOOKUP(G39,$F$15:$H$18,3),0)</f>
        <v>0</v>
      </c>
    </row>
    <row r="40" spans="3:10">
      <c r="C40" s="2">
        <v>2</v>
      </c>
      <c r="D40" s="23">
        <f ca="1">IF(H39=0,(D39-F39),IF(H39=0,(D39+G$24),D39))</f>
        <v>11</v>
      </c>
      <c r="E40" s="3">
        <f t="shared" ref="E40:E41" ca="1" si="1">RAND()</f>
        <v>7.2811043827966881E-2</v>
      </c>
      <c r="F40" s="22">
        <f t="shared" ref="F40:F68" ca="1" si="2">VLOOKUP(E40,$F$6:$H$10,3)</f>
        <v>2</v>
      </c>
      <c r="G40" s="1">
        <f t="shared" ref="G40:G68" ca="1" si="3">IF(D40&lt;=4,RAND(),0)</f>
        <v>0</v>
      </c>
      <c r="H40" s="22">
        <f t="shared" ref="H40:H68" ca="1" si="4">IF(G40&gt;0,VLOOKUP(G40,$F$15:$H$18,3),0)</f>
        <v>0</v>
      </c>
    </row>
    <row r="41" spans="3:10">
      <c r="C41" s="2">
        <v>3</v>
      </c>
      <c r="D41" s="23">
        <f t="shared" ref="D41:D68" ca="1" si="5">IF(H40=0,(D40-F40),(D40+10))</f>
        <v>9</v>
      </c>
      <c r="E41" s="3">
        <f t="shared" ca="1" si="1"/>
        <v>0.82281842909539338</v>
      </c>
      <c r="F41" s="22">
        <f t="shared" ca="1" si="2"/>
        <v>4</v>
      </c>
      <c r="G41" s="1">
        <f t="shared" ca="1" si="3"/>
        <v>0</v>
      </c>
      <c r="H41" s="22">
        <f t="shared" ca="1" si="4"/>
        <v>0</v>
      </c>
    </row>
    <row r="42" spans="3:10">
      <c r="C42" s="2">
        <v>4</v>
      </c>
      <c r="D42" s="23">
        <f t="shared" ca="1" si="5"/>
        <v>5</v>
      </c>
      <c r="E42" s="3">
        <f ca="1">RAND()</f>
        <v>0.36337146984770208</v>
      </c>
      <c r="F42" s="22">
        <f t="shared" ca="1" si="2"/>
        <v>3</v>
      </c>
      <c r="G42" s="1">
        <f t="shared" ca="1" si="3"/>
        <v>0</v>
      </c>
      <c r="H42" s="22">
        <f t="shared" ca="1" si="4"/>
        <v>0</v>
      </c>
      <c r="J42" s="21"/>
    </row>
    <row r="43" spans="3:10">
      <c r="C43" s="2">
        <v>5</v>
      </c>
      <c r="D43" s="23">
        <f t="shared" ca="1" si="5"/>
        <v>2</v>
      </c>
      <c r="E43" s="3">
        <f ca="1">RAND()</f>
        <v>0.96062205176825655</v>
      </c>
      <c r="F43" s="22">
        <f t="shared" ca="1" si="2"/>
        <v>5</v>
      </c>
      <c r="G43" s="1">
        <f t="shared" ca="1" si="3"/>
        <v>0.2517521133945938</v>
      </c>
      <c r="H43" s="22">
        <f t="shared" ca="1" si="4"/>
        <v>3</v>
      </c>
      <c r="J43" t="s">
        <v>20</v>
      </c>
    </row>
    <row r="44" spans="3:10">
      <c r="C44" s="2">
        <v>6</v>
      </c>
      <c r="D44" s="23">
        <f t="shared" ca="1" si="5"/>
        <v>12</v>
      </c>
      <c r="E44" s="3">
        <f t="shared" ref="E44:E68" ca="1" si="6">RAND()</f>
        <v>0.66704393399535444</v>
      </c>
      <c r="F44" s="22">
        <f t="shared" ca="1" si="2"/>
        <v>4</v>
      </c>
      <c r="G44" s="1">
        <f t="shared" ca="1" si="3"/>
        <v>0</v>
      </c>
      <c r="H44" s="22">
        <f t="shared" ca="1" si="4"/>
        <v>0</v>
      </c>
      <c r="J44" t="s">
        <v>21</v>
      </c>
    </row>
    <row r="45" spans="3:10">
      <c r="C45" s="2">
        <v>7</v>
      </c>
      <c r="D45" s="23">
        <f t="shared" ca="1" si="5"/>
        <v>8</v>
      </c>
      <c r="E45" s="3">
        <f t="shared" ca="1" si="6"/>
        <v>8.1129737575757699E-2</v>
      </c>
      <c r="F45" s="22">
        <f t="shared" ca="1" si="2"/>
        <v>2</v>
      </c>
      <c r="G45" s="1">
        <f t="shared" ca="1" si="3"/>
        <v>0</v>
      </c>
      <c r="H45" s="22">
        <f t="shared" ca="1" si="4"/>
        <v>0</v>
      </c>
      <c r="J45" t="s">
        <v>22</v>
      </c>
    </row>
    <row r="46" spans="3:10">
      <c r="C46" s="2">
        <v>8</v>
      </c>
      <c r="D46" s="23">
        <f t="shared" ca="1" si="5"/>
        <v>6</v>
      </c>
      <c r="E46" s="3">
        <f t="shared" ca="1" si="6"/>
        <v>0.48717964015646575</v>
      </c>
      <c r="F46" s="22">
        <f t="shared" ca="1" si="2"/>
        <v>3</v>
      </c>
      <c r="G46" s="1">
        <f t="shared" ca="1" si="3"/>
        <v>0</v>
      </c>
      <c r="H46" s="22">
        <f t="shared" ca="1" si="4"/>
        <v>0</v>
      </c>
    </row>
    <row r="47" spans="3:10">
      <c r="C47" s="2">
        <v>9</v>
      </c>
      <c r="D47" s="23">
        <f t="shared" ca="1" si="5"/>
        <v>3</v>
      </c>
      <c r="E47" s="3">
        <f t="shared" ca="1" si="6"/>
        <v>0.66981727446159645</v>
      </c>
      <c r="F47" s="22">
        <f t="shared" ca="1" si="2"/>
        <v>4</v>
      </c>
      <c r="G47" s="1">
        <f t="shared" ca="1" si="3"/>
        <v>0.50053973820731645</v>
      </c>
      <c r="H47" s="22">
        <f t="shared" ca="1" si="4"/>
        <v>3</v>
      </c>
    </row>
    <row r="48" spans="3:10">
      <c r="C48" s="1">
        <v>10</v>
      </c>
      <c r="D48" s="23">
        <f t="shared" ca="1" si="5"/>
        <v>13</v>
      </c>
      <c r="E48" s="3">
        <f t="shared" ca="1" si="6"/>
        <v>0.64341967815249468</v>
      </c>
      <c r="F48" s="22">
        <f t="shared" ca="1" si="2"/>
        <v>3</v>
      </c>
      <c r="G48" s="1">
        <f t="shared" ca="1" si="3"/>
        <v>0</v>
      </c>
      <c r="H48" s="22">
        <f t="shared" ca="1" si="4"/>
        <v>0</v>
      </c>
    </row>
    <row r="49" spans="3:10">
      <c r="C49" s="2">
        <v>11</v>
      </c>
      <c r="D49" s="23">
        <f t="shared" ca="1" si="5"/>
        <v>10</v>
      </c>
      <c r="E49" s="3">
        <f t="shared" ca="1" si="6"/>
        <v>0.43004310905255494</v>
      </c>
      <c r="F49" s="22">
        <f t="shared" ca="1" si="2"/>
        <v>3</v>
      </c>
      <c r="G49" s="1">
        <f t="shared" ca="1" si="3"/>
        <v>0</v>
      </c>
      <c r="H49" s="22">
        <f t="shared" ca="1" si="4"/>
        <v>0</v>
      </c>
      <c r="J49">
        <v>7</v>
      </c>
    </row>
    <row r="50" spans="3:10">
      <c r="C50" s="2">
        <v>12</v>
      </c>
      <c r="D50" s="23">
        <f t="shared" ca="1" si="5"/>
        <v>7</v>
      </c>
      <c r="E50" s="3">
        <f t="shared" ca="1" si="6"/>
        <v>0.93994511818897386</v>
      </c>
      <c r="F50" s="22">
        <f t="shared" ca="1" si="2"/>
        <v>5</v>
      </c>
      <c r="G50" s="1">
        <f t="shared" ca="1" si="3"/>
        <v>0</v>
      </c>
      <c r="H50" s="22">
        <f t="shared" ca="1" si="4"/>
        <v>0</v>
      </c>
      <c r="J50">
        <f>$AJ49</f>
        <v>0</v>
      </c>
    </row>
    <row r="51" spans="3:10">
      <c r="C51" s="2">
        <v>13</v>
      </c>
      <c r="D51" s="23">
        <f t="shared" ca="1" si="5"/>
        <v>2</v>
      </c>
      <c r="E51" s="3">
        <f t="shared" ca="1" si="6"/>
        <v>9.2567662508379889E-2</v>
      </c>
      <c r="F51" s="22">
        <f t="shared" ca="1" si="2"/>
        <v>2</v>
      </c>
      <c r="G51" s="1">
        <f t="shared" ca="1" si="3"/>
        <v>0.44175953295790538</v>
      </c>
      <c r="H51" s="22">
        <f t="shared" ca="1" si="4"/>
        <v>3</v>
      </c>
    </row>
    <row r="52" spans="3:10">
      <c r="C52" s="2">
        <v>14</v>
      </c>
      <c r="D52" s="23">
        <f t="shared" ca="1" si="5"/>
        <v>12</v>
      </c>
      <c r="E52" s="3">
        <f t="shared" ca="1" si="6"/>
        <v>6.3281635081154142E-2</v>
      </c>
      <c r="F52" s="22">
        <f t="shared" ca="1" si="2"/>
        <v>2</v>
      </c>
      <c r="G52" s="1">
        <f t="shared" ca="1" si="3"/>
        <v>0</v>
      </c>
      <c r="H52" s="22">
        <f t="shared" ca="1" si="4"/>
        <v>0</v>
      </c>
    </row>
    <row r="53" spans="3:10">
      <c r="C53" s="2">
        <v>15</v>
      </c>
      <c r="D53" s="23">
        <f t="shared" ca="1" si="5"/>
        <v>10</v>
      </c>
      <c r="E53" s="3">
        <f t="shared" ca="1" si="6"/>
        <v>0.80542777571694846</v>
      </c>
      <c r="F53" s="22">
        <f t="shared" ca="1" si="2"/>
        <v>4</v>
      </c>
      <c r="G53" s="1">
        <f t="shared" ca="1" si="3"/>
        <v>0</v>
      </c>
      <c r="H53" s="22">
        <f t="shared" ca="1" si="4"/>
        <v>0</v>
      </c>
    </row>
    <row r="54" spans="3:10">
      <c r="C54" s="2">
        <v>16</v>
      </c>
      <c r="D54" s="23">
        <f t="shared" ca="1" si="5"/>
        <v>6</v>
      </c>
      <c r="E54" s="3">
        <f t="shared" ca="1" si="6"/>
        <v>0.95909233705511687</v>
      </c>
      <c r="F54" s="22">
        <f t="shared" ca="1" si="2"/>
        <v>5</v>
      </c>
      <c r="G54" s="1">
        <f t="shared" ca="1" si="3"/>
        <v>0</v>
      </c>
      <c r="H54" s="22">
        <f t="shared" ca="1" si="4"/>
        <v>0</v>
      </c>
    </row>
    <row r="55" spans="3:10">
      <c r="C55" s="2">
        <v>17</v>
      </c>
      <c r="D55" s="23">
        <f t="shared" ca="1" si="5"/>
        <v>1</v>
      </c>
      <c r="E55" s="3">
        <f t="shared" ca="1" si="6"/>
        <v>0.76051621234393285</v>
      </c>
      <c r="F55" s="22">
        <f t="shared" ca="1" si="2"/>
        <v>4</v>
      </c>
      <c r="G55" s="1">
        <f t="shared" ca="1" si="3"/>
        <v>0.17657662470049285</v>
      </c>
      <c r="H55" s="22">
        <f t="shared" ca="1" si="4"/>
        <v>2</v>
      </c>
    </row>
    <row r="56" spans="3:10">
      <c r="C56" s="2">
        <v>18</v>
      </c>
      <c r="D56" s="23">
        <f t="shared" ca="1" si="5"/>
        <v>11</v>
      </c>
      <c r="E56" s="3">
        <f t="shared" ca="1" si="6"/>
        <v>0.34421269959281486</v>
      </c>
      <c r="F56" s="22">
        <f t="shared" ca="1" si="2"/>
        <v>3</v>
      </c>
      <c r="G56" s="1">
        <f t="shared" ca="1" si="3"/>
        <v>0</v>
      </c>
      <c r="H56" s="22">
        <f t="shared" ca="1" si="4"/>
        <v>0</v>
      </c>
    </row>
    <row r="57" spans="3:10">
      <c r="C57" s="2">
        <v>19</v>
      </c>
      <c r="D57" s="23">
        <f t="shared" ca="1" si="5"/>
        <v>8</v>
      </c>
      <c r="E57" s="3">
        <f t="shared" ca="1" si="6"/>
        <v>0.57062167181814716</v>
      </c>
      <c r="F57" s="22">
        <f t="shared" ca="1" si="2"/>
        <v>3</v>
      </c>
      <c r="G57" s="1">
        <f t="shared" ca="1" si="3"/>
        <v>0</v>
      </c>
      <c r="H57" s="22">
        <f t="shared" ca="1" si="4"/>
        <v>0</v>
      </c>
    </row>
    <row r="58" spans="3:10">
      <c r="C58" s="1">
        <v>20</v>
      </c>
      <c r="D58" s="23">
        <f t="shared" ca="1" si="5"/>
        <v>5</v>
      </c>
      <c r="E58" s="3">
        <f t="shared" ca="1" si="6"/>
        <v>0.56735288129714023</v>
      </c>
      <c r="F58" s="22">
        <f t="shared" ca="1" si="2"/>
        <v>3</v>
      </c>
      <c r="G58" s="1">
        <f t="shared" ca="1" si="3"/>
        <v>0</v>
      </c>
      <c r="H58" s="22">
        <f t="shared" ca="1" si="4"/>
        <v>0</v>
      </c>
    </row>
    <row r="59" spans="3:10">
      <c r="C59" s="2">
        <v>21</v>
      </c>
      <c r="D59" s="23">
        <f t="shared" ca="1" si="5"/>
        <v>2</v>
      </c>
      <c r="E59" s="3">
        <f t="shared" ca="1" si="6"/>
        <v>0.90880105474696182</v>
      </c>
      <c r="F59" s="22">
        <f t="shared" ca="1" si="2"/>
        <v>5</v>
      </c>
      <c r="G59" s="1">
        <f t="shared" ca="1" si="3"/>
        <v>0.19026760851993119</v>
      </c>
      <c r="H59" s="22">
        <f t="shared" ca="1" si="4"/>
        <v>2</v>
      </c>
    </row>
    <row r="60" spans="3:10">
      <c r="C60" s="2">
        <v>22</v>
      </c>
      <c r="D60" s="23">
        <f t="shared" ca="1" si="5"/>
        <v>12</v>
      </c>
      <c r="E60" s="3">
        <f t="shared" ca="1" si="6"/>
        <v>0.38619058040732168</v>
      </c>
      <c r="F60" s="22">
        <f t="shared" ca="1" si="2"/>
        <v>3</v>
      </c>
      <c r="G60" s="1">
        <f t="shared" ca="1" si="3"/>
        <v>0</v>
      </c>
      <c r="H60" s="22">
        <f t="shared" ca="1" si="4"/>
        <v>0</v>
      </c>
    </row>
    <row r="61" spans="3:10">
      <c r="C61" s="2">
        <v>23</v>
      </c>
      <c r="D61" s="23">
        <f t="shared" ca="1" si="5"/>
        <v>9</v>
      </c>
      <c r="E61" s="3">
        <f t="shared" ca="1" si="6"/>
        <v>7.8706820707605041E-2</v>
      </c>
      <c r="F61" s="22">
        <f t="shared" ca="1" si="2"/>
        <v>2</v>
      </c>
      <c r="G61" s="1">
        <f t="shared" ca="1" si="3"/>
        <v>0</v>
      </c>
      <c r="H61" s="22">
        <f t="shared" ca="1" si="4"/>
        <v>0</v>
      </c>
    </row>
    <row r="62" spans="3:10">
      <c r="C62" s="2">
        <v>24</v>
      </c>
      <c r="D62" s="23">
        <f t="shared" ca="1" si="5"/>
        <v>7</v>
      </c>
      <c r="E62" s="3">
        <f t="shared" ca="1" si="6"/>
        <v>0.7833595361837723</v>
      </c>
      <c r="F62" s="22">
        <f t="shared" ca="1" si="2"/>
        <v>4</v>
      </c>
      <c r="G62" s="1">
        <f t="shared" ca="1" si="3"/>
        <v>0</v>
      </c>
      <c r="H62" s="22">
        <f t="shared" ca="1" si="4"/>
        <v>0</v>
      </c>
    </row>
    <row r="63" spans="3:10">
      <c r="C63" s="2">
        <v>25</v>
      </c>
      <c r="D63" s="23">
        <f t="shared" ca="1" si="5"/>
        <v>3</v>
      </c>
      <c r="E63" s="3">
        <f t="shared" ca="1" si="6"/>
        <v>5.4232010194991798E-2</v>
      </c>
      <c r="F63" s="22">
        <f t="shared" ca="1" si="2"/>
        <v>2</v>
      </c>
      <c r="G63" s="1">
        <f t="shared" ca="1" si="3"/>
        <v>0.61340374753958826</v>
      </c>
      <c r="H63" s="22">
        <f t="shared" ca="1" si="4"/>
        <v>3</v>
      </c>
    </row>
    <row r="64" spans="3:10">
      <c r="C64" s="2">
        <v>26</v>
      </c>
      <c r="D64" s="23">
        <f t="shared" ca="1" si="5"/>
        <v>13</v>
      </c>
      <c r="E64" s="3">
        <f t="shared" ca="1" si="6"/>
        <v>7.413154540085809E-2</v>
      </c>
      <c r="F64" s="22">
        <f t="shared" ca="1" si="2"/>
        <v>2</v>
      </c>
      <c r="G64" s="1">
        <f t="shared" ca="1" si="3"/>
        <v>0</v>
      </c>
      <c r="H64" s="22">
        <f t="shared" ca="1" si="4"/>
        <v>0</v>
      </c>
    </row>
    <row r="65" spans="3:9">
      <c r="C65" s="2">
        <v>27</v>
      </c>
      <c r="D65" s="23">
        <f t="shared" ca="1" si="5"/>
        <v>11</v>
      </c>
      <c r="E65" s="3">
        <f t="shared" ca="1" si="6"/>
        <v>0.22003425700550872</v>
      </c>
      <c r="F65" s="22">
        <f t="shared" ca="1" si="2"/>
        <v>2</v>
      </c>
      <c r="G65" s="1">
        <f t="shared" ca="1" si="3"/>
        <v>0</v>
      </c>
      <c r="H65" s="22">
        <f t="shared" ca="1" si="4"/>
        <v>0</v>
      </c>
    </row>
    <row r="66" spans="3:9">
      <c r="C66" s="2">
        <v>28</v>
      </c>
      <c r="D66" s="23">
        <f t="shared" ca="1" si="5"/>
        <v>9</v>
      </c>
      <c r="E66" s="3">
        <f t="shared" ca="1" si="6"/>
        <v>0.14080404805096236</v>
      </c>
      <c r="F66" s="22">
        <f t="shared" ca="1" si="2"/>
        <v>2</v>
      </c>
      <c r="G66" s="1">
        <f t="shared" ca="1" si="3"/>
        <v>0</v>
      </c>
      <c r="H66" s="22">
        <f t="shared" ca="1" si="4"/>
        <v>0</v>
      </c>
    </row>
    <row r="67" spans="3:9">
      <c r="C67" s="2">
        <v>29</v>
      </c>
      <c r="D67" s="23">
        <f t="shared" ca="1" si="5"/>
        <v>7</v>
      </c>
      <c r="E67" s="3">
        <f t="shared" ca="1" si="6"/>
        <v>0.1702219326535539</v>
      </c>
      <c r="F67" s="22">
        <f t="shared" ca="1" si="2"/>
        <v>2</v>
      </c>
      <c r="G67" s="1">
        <f t="shared" ca="1" si="3"/>
        <v>0</v>
      </c>
      <c r="H67" s="22">
        <f t="shared" ca="1" si="4"/>
        <v>0</v>
      </c>
    </row>
    <row r="68" spans="3:9">
      <c r="C68" s="1">
        <v>30</v>
      </c>
      <c r="D68" s="23">
        <f t="shared" ca="1" si="5"/>
        <v>5</v>
      </c>
      <c r="E68" s="3">
        <f t="shared" ca="1" si="6"/>
        <v>9.7578102291894786E-2</v>
      </c>
      <c r="F68" s="22">
        <f t="shared" ca="1" si="2"/>
        <v>2</v>
      </c>
      <c r="G68" s="1">
        <f t="shared" ca="1" si="3"/>
        <v>0</v>
      </c>
      <c r="H68" s="22">
        <f t="shared" ca="1" si="4"/>
        <v>0</v>
      </c>
    </row>
    <row r="73" spans="3:9">
      <c r="C73" s="9" t="s">
        <v>0</v>
      </c>
      <c r="D73" s="9" t="s">
        <v>9</v>
      </c>
      <c r="E73" s="9" t="s">
        <v>18</v>
      </c>
      <c r="F73" s="9" t="s">
        <v>13</v>
      </c>
      <c r="G73" s="9" t="s">
        <v>14</v>
      </c>
      <c r="H73" s="9" t="s">
        <v>15</v>
      </c>
      <c r="I73" s="9" t="s">
        <v>1</v>
      </c>
    </row>
    <row r="74" spans="3:9">
      <c r="C74" s="2">
        <v>1</v>
      </c>
      <c r="D74" s="1">
        <f ca="1">G39</f>
        <v>0</v>
      </c>
      <c r="E74" s="3">
        <f ca="1">RAND()</f>
        <v>0.66277646109092814</v>
      </c>
      <c r="F74" s="1">
        <f ca="1">VLOOKUP(E74,$F$6:$H$10,3)</f>
        <v>4</v>
      </c>
      <c r="G74" s="1">
        <f t="shared" ref="G74:G83" ca="1" si="7">VLOOKUP(E74,$F$6:$H$18,3)</f>
        <v>3</v>
      </c>
      <c r="H74" s="1">
        <f t="shared" ref="H74:H83" ca="1" si="8">IF(D74&gt;0,(G74*($G$24-$G$23)),0)</f>
        <v>0</v>
      </c>
      <c r="I74" s="1">
        <v>0</v>
      </c>
    </row>
    <row r="75" spans="3:9">
      <c r="C75" s="2">
        <v>2</v>
      </c>
      <c r="D75" s="1">
        <f ca="1">IF(D74&lt;=4,(D74+F50),(D74-G74))</f>
        <v>5</v>
      </c>
      <c r="E75" s="3">
        <f t="shared" ref="E75:E76" ca="1" si="9">RAND()</f>
        <v>0.56647703390746906</v>
      </c>
      <c r="F75" s="1">
        <f t="shared" ref="F75:F83" ca="1" si="10">VLOOKUP(E75,$F$6:$H$10,3)</f>
        <v>3</v>
      </c>
      <c r="G75" s="1">
        <f t="shared" ca="1" si="7"/>
        <v>3</v>
      </c>
      <c r="H75" s="1">
        <f t="shared" ca="1" si="8"/>
        <v>18</v>
      </c>
      <c r="I75" s="1">
        <v>0</v>
      </c>
    </row>
    <row r="76" spans="3:9">
      <c r="C76" s="2">
        <v>3</v>
      </c>
      <c r="D76" s="1">
        <f t="shared" ref="D76:D83" ca="1" si="11">IF(D75&lt;=0,0,IF((D75-G75)&lt;=0,0,(D75-G75)))</f>
        <v>2</v>
      </c>
      <c r="E76" s="3">
        <f t="shared" ca="1" si="9"/>
        <v>0.51487141496553768</v>
      </c>
      <c r="F76" s="1">
        <f t="shared" ca="1" si="10"/>
        <v>3</v>
      </c>
      <c r="G76" s="1">
        <f t="shared" ca="1" si="7"/>
        <v>3</v>
      </c>
      <c r="H76" s="1">
        <f t="shared" ca="1" si="8"/>
        <v>18</v>
      </c>
      <c r="I76" s="1">
        <v>0</v>
      </c>
    </row>
    <row r="77" spans="3:9">
      <c r="C77" s="2">
        <v>4</v>
      </c>
      <c r="D77" s="1">
        <f t="shared" ca="1" si="11"/>
        <v>0</v>
      </c>
      <c r="E77" s="3">
        <f ca="1">RAND()</f>
        <v>0.86112512976335254</v>
      </c>
      <c r="F77" s="1">
        <f t="shared" ca="1" si="10"/>
        <v>5</v>
      </c>
      <c r="G77" s="1">
        <f t="shared" ca="1" si="7"/>
        <v>4</v>
      </c>
      <c r="H77" s="1">
        <f t="shared" ca="1" si="8"/>
        <v>0</v>
      </c>
      <c r="I77" s="1">
        <v>0</v>
      </c>
    </row>
    <row r="78" spans="3:9">
      <c r="C78" s="2">
        <v>5</v>
      </c>
      <c r="D78" s="1">
        <f t="shared" ca="1" si="11"/>
        <v>0</v>
      </c>
      <c r="E78" s="3">
        <f t="shared" ref="E78:E83" ca="1" si="12">RAND()</f>
        <v>0.67300003195584457</v>
      </c>
      <c r="F78" s="1">
        <f t="shared" ca="1" si="10"/>
        <v>4</v>
      </c>
      <c r="G78" s="1">
        <f t="shared" ca="1" si="7"/>
        <v>3</v>
      </c>
      <c r="H78" s="1">
        <f t="shared" ca="1" si="8"/>
        <v>0</v>
      </c>
      <c r="I78" s="1">
        <v>4</v>
      </c>
    </row>
    <row r="79" spans="3:9">
      <c r="C79" s="2">
        <v>6</v>
      </c>
      <c r="D79" s="1">
        <f t="shared" ca="1" si="11"/>
        <v>0</v>
      </c>
      <c r="E79" s="3">
        <f t="shared" ca="1" si="12"/>
        <v>0.95424499793814266</v>
      </c>
      <c r="F79" s="1">
        <f t="shared" ca="1" si="10"/>
        <v>5</v>
      </c>
      <c r="G79" s="1">
        <f t="shared" ca="1" si="7"/>
        <v>5</v>
      </c>
      <c r="H79" s="1">
        <f t="shared" ca="1" si="8"/>
        <v>0</v>
      </c>
      <c r="I79" s="1">
        <v>2</v>
      </c>
    </row>
    <row r="80" spans="3:9">
      <c r="C80" s="2">
        <v>7</v>
      </c>
      <c r="D80" s="1">
        <f t="shared" ca="1" si="11"/>
        <v>0</v>
      </c>
      <c r="E80" s="3">
        <f t="shared" ca="1" si="12"/>
        <v>0.37020977590130066</v>
      </c>
      <c r="F80" s="1">
        <f t="shared" ca="1" si="10"/>
        <v>3</v>
      </c>
      <c r="G80" s="1">
        <f t="shared" ca="1" si="7"/>
        <v>3</v>
      </c>
      <c r="H80" s="1">
        <f t="shared" ca="1" si="8"/>
        <v>0</v>
      </c>
      <c r="I80" s="1">
        <v>3</v>
      </c>
    </row>
    <row r="81" spans="3:9">
      <c r="C81" s="2">
        <v>8</v>
      </c>
      <c r="D81" s="1">
        <f t="shared" ca="1" si="11"/>
        <v>0</v>
      </c>
      <c r="E81" s="3">
        <f t="shared" ca="1" si="12"/>
        <v>1.1320638567681618E-2</v>
      </c>
      <c r="F81" s="1">
        <f t="shared" ca="1" si="10"/>
        <v>1</v>
      </c>
      <c r="G81" s="1">
        <f t="shared" ca="1" si="7"/>
        <v>2</v>
      </c>
      <c r="H81" s="1">
        <f t="shared" ca="1" si="8"/>
        <v>0</v>
      </c>
      <c r="I81" s="1">
        <v>4</v>
      </c>
    </row>
    <row r="82" spans="3:9">
      <c r="C82" s="2">
        <v>9</v>
      </c>
      <c r="D82" s="1">
        <f t="shared" ca="1" si="11"/>
        <v>0</v>
      </c>
      <c r="E82" s="3">
        <f t="shared" ca="1" si="12"/>
        <v>0.13323347001278063</v>
      </c>
      <c r="F82" s="1">
        <f t="shared" ca="1" si="10"/>
        <v>2</v>
      </c>
      <c r="G82" s="1">
        <f t="shared" ca="1" si="7"/>
        <v>2</v>
      </c>
      <c r="H82" s="1">
        <f t="shared" ca="1" si="8"/>
        <v>0</v>
      </c>
      <c r="I82" s="1">
        <v>3</v>
      </c>
    </row>
    <row r="83" spans="3:9">
      <c r="C83" s="1">
        <v>10</v>
      </c>
      <c r="D83" s="1">
        <f t="shared" ca="1" si="11"/>
        <v>0</v>
      </c>
      <c r="E83" s="3">
        <f t="shared" ca="1" si="12"/>
        <v>0.12404666702686107</v>
      </c>
      <c r="F83" s="1">
        <f t="shared" ca="1" si="10"/>
        <v>2</v>
      </c>
      <c r="G83" s="1">
        <f t="shared" ca="1" si="7"/>
        <v>2</v>
      </c>
      <c r="H83" s="1">
        <f t="shared" ca="1" si="8"/>
        <v>0</v>
      </c>
      <c r="I83" s="1">
        <v>2</v>
      </c>
    </row>
  </sheetData>
  <mergeCells count="6">
    <mergeCell ref="E25:F25"/>
    <mergeCell ref="E24:F24"/>
    <mergeCell ref="E23:F23"/>
    <mergeCell ref="K5:S5"/>
    <mergeCell ref="C4:H4"/>
    <mergeCell ref="L10:M10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vito-dante</cp:lastModifiedBy>
  <cp:lastPrinted>2014-06-03T21:41:54Z</cp:lastPrinted>
  <dcterms:created xsi:type="dcterms:W3CDTF">2014-06-03T19:24:10Z</dcterms:created>
  <dcterms:modified xsi:type="dcterms:W3CDTF">2014-06-10T08:05:59Z</dcterms:modified>
</cp:coreProperties>
</file>